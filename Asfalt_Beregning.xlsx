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omasKhannaKlelundJ\Downloads\"/>
    </mc:Choice>
  </mc:AlternateContent>
  <xr:revisionPtr revIDLastSave="0" documentId="13_ncr:1_{34C3B12B-B5C5-46C5-96B7-3C70D81FB615}" xr6:coauthVersionLast="47" xr6:coauthVersionMax="47" xr10:uidLastSave="{00000000-0000-0000-0000-000000000000}"/>
  <bookViews>
    <workbookView xWindow="-51720" yWindow="-255" windowWidth="51840" windowHeight="21120" activeTab="1" xr2:uid="{00000000-000D-0000-FFFF-FFFF00000000}"/>
  </bookViews>
  <sheets>
    <sheet name="Ark1" sheetId="1" r:id="rId1"/>
    <sheet name="Ark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14" i="1" s="1"/>
  <c r="C13" i="1"/>
  <c r="D13" i="1" s="1"/>
  <c r="E7" i="2"/>
  <c r="E6" i="2"/>
  <c r="E5" i="2"/>
  <c r="E4" i="2"/>
  <c r="E3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<sst xmlns="http://schemas.openxmlformats.org/spreadsheetml/2006/main" count="24" uniqueCount="19">
  <si>
    <t>Asfalttype</t>
  </si>
  <si>
    <t>0-3 mm Hvid</t>
  </si>
  <si>
    <t>0-5 mm Rød</t>
  </si>
  <si>
    <t>0-8 mm Grøn</t>
  </si>
  <si>
    <t>0-11 mm Blå</t>
  </si>
  <si>
    <t>0-16 mm Gul</t>
  </si>
  <si>
    <t>Komprimeret</t>
  </si>
  <si>
    <t>Hulstørrelse</t>
  </si>
  <si>
    <t>Mængde i kg.</t>
  </si>
  <si>
    <t>Volumen</t>
  </si>
  <si>
    <t>Forbrug/cm3</t>
  </si>
  <si>
    <t>Ukomprimeret</t>
  </si>
  <si>
    <t>Vælg Asfalttype --&gt;</t>
  </si>
  <si>
    <t>Indtast Bredde i mm. ---&gt;</t>
  </si>
  <si>
    <t>Beregning forbrug af Instamak Reparationsasfalt</t>
  </si>
  <si>
    <t>Kg</t>
  </si>
  <si>
    <t>Spande</t>
  </si>
  <si>
    <t>Indtast Længde i mm.  ---&gt;</t>
  </si>
  <si>
    <t>Indtast Dybde i mm. 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</si>
</sst>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.0_ ;_ * \-#,##0.0_ ;_ * &quot;-&quot;??_ ;_ @_ "/>
    <numFmt numFmtId="166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/>
  </cellStyleXfs>
  <cellXfs count="37">
    <xf numFmtId="0" fontId="0" fillId="0" borderId="0" xfId="0"/>
    <xf numFmtId="0" fontId="0" fillId="3" borderId="0" xfId="0" applyFill="1"/>
    <xf numFmtId="0" fontId="0" fillId="0" borderId="0" xfId="0" applyAlignment="1">
      <alignment horizontal="right"/>
    </xf>
    <xf numFmtId="166" fontId="0" fillId="7" borderId="0" xfId="1" applyNumberFormat="1" applyFont="1" applyFill="1"/>
    <xf numFmtId="0" fontId="0" fillId="10" borderId="0" xfId="0" applyFill="1"/>
    <xf numFmtId="0" fontId="0" fillId="10" borderId="0" xfId="1" applyNumberFormat="1" applyFont="1" applyFill="1"/>
    <xf numFmtId="0" fontId="2" fillId="8" borderId="1" xfId="0" applyFont="1" applyFill="1" applyBorder="1" applyAlignment="1">
      <alignment horizontal="right"/>
    </xf>
    <xf numFmtId="0" fontId="2" fillId="11" borderId="1" xfId="0" applyFont="1" applyFill="1" applyBorder="1" applyAlignment="1">
      <alignment horizontal="right"/>
    </xf>
    <xf numFmtId="0" fontId="2" fillId="2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4" fillId="4" borderId="1" xfId="0" applyFont="1" applyFill="1" applyBorder="1" applyAlignment="1" applyProtection="1">
      <alignment horizontal="right"/>
      <protection locked="0"/>
    </xf>
    <xf numFmtId="0" fontId="5" fillId="13" borderId="2" xfId="0" applyFont="1" applyFill="1" applyBorder="1"/>
    <xf numFmtId="0" fontId="5" fillId="13" borderId="3" xfId="0" applyFont="1" applyFill="1" applyBorder="1"/>
    <xf numFmtId="0" fontId="6" fillId="13" borderId="3" xfId="0" applyFont="1" applyFill="1" applyBorder="1" applyAlignment="1">
      <alignment horizontal="right"/>
    </xf>
    <xf numFmtId="0" fontId="6" fillId="13" borderId="4" xfId="0" applyFont="1" applyFill="1" applyBorder="1"/>
    <xf numFmtId="0" fontId="0" fillId="4" borderId="5" xfId="0" applyFill="1" applyBorder="1"/>
    <xf numFmtId="0" fontId="0" fillId="4" borderId="0" xfId="0" applyFill="1"/>
    <xf numFmtId="0" fontId="0" fillId="4" borderId="0" xfId="0" applyFill="1" applyAlignment="1">
      <alignment horizontal="right"/>
    </xf>
    <xf numFmtId="0" fontId="0" fillId="4" borderId="6" xfId="0" applyFill="1" applyBorder="1" applyAlignment="1">
      <alignment horizontal="right"/>
    </xf>
    <xf numFmtId="0" fontId="4" fillId="4" borderId="5" xfId="0" applyFont="1" applyFill="1" applyBorder="1"/>
    <xf numFmtId="0" fontId="4" fillId="4" borderId="0" xfId="0" applyFont="1" applyFill="1"/>
    <xf numFmtId="166" fontId="4" fillId="12" borderId="0" xfId="1" applyNumberFormat="1" applyFont="1" applyFill="1" applyBorder="1" applyAlignment="1" applyProtection="1">
      <alignment horizontal="right"/>
      <protection locked="0"/>
    </xf>
    <xf numFmtId="165" fontId="4" fillId="12" borderId="0" xfId="1" applyNumberFormat="1" applyFont="1" applyFill="1" applyBorder="1" applyAlignment="1" applyProtection="1">
      <alignment horizontal="right"/>
      <protection locked="0"/>
    </xf>
    <xf numFmtId="164" fontId="4" fillId="6" borderId="0" xfId="1" applyFont="1" applyFill="1" applyBorder="1" applyAlignment="1">
      <alignment horizontal="right"/>
    </xf>
    <xf numFmtId="164" fontId="4" fillId="14" borderId="0" xfId="0" applyNumberFormat="1" applyFont="1" applyFill="1" applyAlignment="1">
      <alignment horizontal="right"/>
    </xf>
    <xf numFmtId="0" fontId="0" fillId="4" borderId="8" xfId="0" applyFill="1" applyBorder="1"/>
    <xf numFmtId="0" fontId="0" fillId="4" borderId="9" xfId="0" applyFill="1" applyBorder="1"/>
    <xf numFmtId="0" fontId="0" fillId="4" borderId="9" xfId="0" applyFill="1" applyBorder="1" applyAlignment="1">
      <alignment horizontal="right"/>
    </xf>
    <xf numFmtId="0" fontId="0" fillId="4" borderId="10" xfId="0" applyFill="1" applyBorder="1" applyAlignment="1">
      <alignment horizontal="right"/>
    </xf>
    <xf numFmtId="0" fontId="3" fillId="3" borderId="7" xfId="0" applyFont="1" applyFill="1" applyBorder="1"/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4" fillId="15" borderId="7" xfId="0" applyFont="1" applyFill="1" applyBorder="1"/>
    <xf numFmtId="0" fontId="4" fillId="15" borderId="5" xfId="0" applyFont="1" applyFill="1" applyBorder="1"/>
    <xf numFmtId="0" fontId="2" fillId="9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3">
    <cellStyle name="Komma" xfId="1" builtinId="3"/>
    <cellStyle name="Normal" xfId="0" builtinId="0"/>
    <cellStyle name="Normal 2" xfId="2" xr:uid="{00000000-0005-0000-0000-000002000000}"/>
  </cellStyles>
  <dxfs count="5"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theme="3" tint="0.39994506668294322"/>
        </patternFill>
      </fill>
    </dxf>
    <dxf>
      <fill>
        <patternFill>
          <bgColor rgb="FFFCF008"/>
        </patternFill>
      </fill>
    </dxf>
  </dxfs>
  <tableStyles count="0" defaultTableStyle="TableStyleMedium2" defaultPivotStyle="PivotStyleLight16"/>
  <colors>
    <mruColors>
      <color rgb="FFFCF0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8"/>
  <sheetViews>
    <sheetView workbookViewId="0">
      <selection activeCell="Q32" sqref="Q32"/>
    </sheetView>
  </sheetViews>
  <sheetFormatPr defaultRowHeight="15" x14ac:dyDescent="0.25"/>
  <cols>
    <col min="1" max="1" width="2" customWidth="1"/>
    <col min="2" max="2" width="36.42578125" customWidth="1"/>
    <col min="3" max="3" width="16.42578125" customWidth="1"/>
    <col min="4" max="4" width="14.85546875" style="2" customWidth="1"/>
    <col min="5" max="5" width="4.140625" customWidth="1"/>
  </cols>
  <sheetData>
    <row r="1" spans="2:5" ht="6" customHeight="1" thickBot="1" x14ac:dyDescent="0.3"/>
    <row r="2" spans="2:5" ht="21" x14ac:dyDescent="0.35">
      <c r="B2" s="12" t="s">
        <v>14</v>
      </c>
      <c r="C2" s="13"/>
      <c r="D2" s="14"/>
      <c r="E2" s="15"/>
    </row>
    <row r="3" spans="2:5" x14ac:dyDescent="0.25">
      <c r="B3" s="16"/>
      <c r="C3" s="17"/>
      <c r="D3" s="18"/>
      <c r="E3" s="19"/>
    </row>
    <row r="4" spans="2:5" ht="15.75" x14ac:dyDescent="0.25">
      <c r="B4" s="33" t="s">
        <v>12</v>
      </c>
      <c r="C4" s="9"/>
      <c r="D4" s="11" t="s">
        <v>2</v>
      </c>
      <c r="E4" s="19"/>
    </row>
    <row r="5" spans="2:5" x14ac:dyDescent="0.25">
      <c r="B5" s="16"/>
      <c r="C5" s="17"/>
      <c r="D5" s="18"/>
      <c r="E5" s="19"/>
    </row>
    <row r="6" spans="2:5" ht="21" x14ac:dyDescent="0.35">
      <c r="B6" s="30" t="s">
        <v>7</v>
      </c>
      <c r="C6" s="10"/>
      <c r="D6" s="31"/>
      <c r="E6" s="19"/>
    </row>
    <row r="7" spans="2:5" ht="15.75" x14ac:dyDescent="0.25">
      <c r="B7" s="34" t="s">
        <v>17</v>
      </c>
      <c r="C7" s="21"/>
      <c r="D7" s="22">
        <v>1000</v>
      </c>
      <c r="E7" s="19"/>
    </row>
    <row r="8" spans="2:5" ht="15.75" x14ac:dyDescent="0.25">
      <c r="B8" s="34" t="s">
        <v>13</v>
      </c>
      <c r="C8" s="21"/>
      <c r="D8" s="22">
        <v>1000</v>
      </c>
      <c r="E8" s="19"/>
    </row>
    <row r="9" spans="2:5" ht="15.75" x14ac:dyDescent="0.25">
      <c r="B9" s="34" t="s">
        <v>18</v>
      </c>
      <c r="C9" s="21"/>
      <c r="D9" s="23">
        <v>32.5</v>
      </c>
      <c r="E9" s="19"/>
    </row>
    <row r="10" spans="2:5" x14ac:dyDescent="0.25">
      <c r="B10" s="16"/>
      <c r="C10" s="17"/>
      <c r="D10" s="18"/>
      <c r="E10" s="19"/>
    </row>
    <row r="11" spans="2:5" x14ac:dyDescent="0.25">
      <c r="B11" s="16"/>
      <c r="C11" s="17"/>
      <c r="D11" s="18"/>
      <c r="E11" s="19"/>
    </row>
    <row r="12" spans="2:5" ht="18.75" x14ac:dyDescent="0.3">
      <c r="B12" s="30" t="s">
        <v>8</v>
      </c>
      <c r="C12" s="32" t="s">
        <v>15</v>
      </c>
      <c r="D12" s="32" t="s">
        <v>16</v>
      </c>
      <c r="E12" s="19"/>
    </row>
    <row r="13" spans="2:5" ht="15.75" x14ac:dyDescent="0.25">
      <c r="B13" s="20" t="s">
        <v>11</v>
      </c>
      <c r="C13" s="24">
        <f>VLOOKUP(D$4,'Ark2'!$A$2:$E$7,4,FALSE)*$D$7*$D$8*$D$9/1000</f>
        <v>49.242424242424249</v>
      </c>
      <c r="D13" s="25">
        <f>ROUNDUP(C13/25,0)</f>
        <v>2</v>
      </c>
      <c r="E13" s="19"/>
    </row>
    <row r="14" spans="2:5" ht="15.75" x14ac:dyDescent="0.25">
      <c r="B14" s="20" t="s">
        <v>6</v>
      </c>
      <c r="C14" s="24">
        <f>VLOOKUP(D$4,'Ark2'!$A$2:$E$7,5,FALSE)*$D$7*$D$8*$D$9/1000</f>
        <v>58.035714285714285</v>
      </c>
      <c r="D14" s="25">
        <f>ROUNDUP(C14/25,0)</f>
        <v>3</v>
      </c>
      <c r="E14" s="19"/>
    </row>
    <row r="15" spans="2:5" ht="15.75" thickBot="1" x14ac:dyDescent="0.3">
      <c r="B15" s="26"/>
      <c r="C15" s="27"/>
      <c r="D15" s="28"/>
      <c r="E15" s="29"/>
    </row>
    <row r="16" spans="2:5" x14ac:dyDescent="0.25">
      <c r="D16"/>
    </row>
    <row r="17" spans="4:4" x14ac:dyDescent="0.25">
      <c r="D17"/>
    </row>
    <row r="18" spans="4:4" x14ac:dyDescent="0.25">
      <c r="D18"/>
    </row>
  </sheetData>
  <conditionalFormatting sqref="D4">
    <cfRule type="expression" dxfId="4" priority="1">
      <formula>D4="0-16 mm Gul"</formula>
    </cfRule>
    <cfRule type="expression" dxfId="3" priority="2">
      <formula>D4="0-11 mm Blå"</formula>
    </cfRule>
    <cfRule type="expression" dxfId="2" priority="3">
      <formula>D4="0-8 mm Grøn"</formula>
    </cfRule>
    <cfRule type="expression" dxfId="1" priority="4">
      <formula>D4="0-3 mm Hvid"</formula>
    </cfRule>
    <cfRule type="expression" dxfId="0" priority="5">
      <formula>D4="0-5 mm Rød"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'Ark2'!$A$3:$A$7</xm:f>
          </x14:formula1>
          <xm:sqref>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workbookViewId="0">
      <selection activeCell="AC9" sqref="AC9"/>
    </sheetView>
  </sheetViews>
  <sheetFormatPr defaultRowHeight="15" x14ac:dyDescent="0.25"/>
  <cols>
    <col min="1" max="1" width="18.140625" customWidth="1"/>
    <col min="2" max="2" width="14.140625" bestFit="1" customWidth="1"/>
    <col min="3" max="4" width="14.85546875" customWidth="1"/>
    <col min="5" max="5" width="18.5703125" customWidth="1"/>
  </cols>
  <sheetData>
    <row r="1" spans="1:5" x14ac:dyDescent="0.25">
      <c r="B1" s="36" t="s">
        <v>9</v>
      </c>
      <c r="C1" s="36"/>
      <c r="D1" s="35" t="s">
        <v>10</v>
      </c>
      <c r="E1" s="35"/>
    </row>
    <row r="2" spans="1:5" x14ac:dyDescent="0.25">
      <c r="A2" s="8" t="s">
        <v>0</v>
      </c>
      <c r="B2" s="6" t="s">
        <v>11</v>
      </c>
      <c r="C2" s="6" t="s">
        <v>6</v>
      </c>
      <c r="D2" s="7" t="s">
        <v>11</v>
      </c>
      <c r="E2" s="7" t="s">
        <v>6</v>
      </c>
    </row>
    <row r="3" spans="1:5" x14ac:dyDescent="0.25">
      <c r="A3" s="1" t="s">
        <v>1</v>
      </c>
      <c r="B3" s="3">
        <v>17500</v>
      </c>
      <c r="C3" s="3">
        <v>14900</v>
      </c>
      <c r="D3" s="4">
        <f>25/B3</f>
        <v>1.4285714285714286E-3</v>
      </c>
      <c r="E3" s="5">
        <f>25/C3</f>
        <v>1.6778523489932886E-3</v>
      </c>
    </row>
    <row r="4" spans="1:5" x14ac:dyDescent="0.25">
      <c r="A4" s="1" t="s">
        <v>2</v>
      </c>
      <c r="B4" s="3">
        <v>16500</v>
      </c>
      <c r="C4" s="3">
        <v>14000</v>
      </c>
      <c r="D4" s="4">
        <f t="shared" ref="D4:E7" si="0">25/B4</f>
        <v>1.5151515151515152E-3</v>
      </c>
      <c r="E4" s="5">
        <f t="shared" si="0"/>
        <v>1.7857142857142857E-3</v>
      </c>
    </row>
    <row r="5" spans="1:5" x14ac:dyDescent="0.25">
      <c r="A5" s="1" t="s">
        <v>3</v>
      </c>
      <c r="B5" s="3">
        <v>15500</v>
      </c>
      <c r="C5" s="3">
        <v>13200</v>
      </c>
      <c r="D5" s="4">
        <f t="shared" si="0"/>
        <v>1.6129032258064516E-3</v>
      </c>
      <c r="E5" s="5">
        <f t="shared" si="0"/>
        <v>1.893939393939394E-3</v>
      </c>
    </row>
    <row r="6" spans="1:5" x14ac:dyDescent="0.25">
      <c r="A6" s="1" t="s">
        <v>4</v>
      </c>
      <c r="B6" s="3">
        <v>15000</v>
      </c>
      <c r="C6" s="3">
        <v>12800</v>
      </c>
      <c r="D6" s="4">
        <f t="shared" si="0"/>
        <v>1.6666666666666668E-3</v>
      </c>
      <c r="E6" s="5">
        <f t="shared" si="0"/>
        <v>1.953125E-3</v>
      </c>
    </row>
    <row r="7" spans="1:5" x14ac:dyDescent="0.25">
      <c r="A7" s="1" t="s">
        <v>5</v>
      </c>
      <c r="B7" s="3">
        <v>14500</v>
      </c>
      <c r="C7" s="3">
        <v>12300</v>
      </c>
      <c r="D7" s="4">
        <f t="shared" si="0"/>
        <v>1.7241379310344827E-3</v>
      </c>
      <c r="E7" s="5">
        <f t="shared" si="0"/>
        <v>2.0325203252032522E-3</v>
      </c>
    </row>
  </sheetData>
  <mergeCells count="2">
    <mergeCell ref="D1:E1"/>
    <mergeCell ref="B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</vt:lpstr>
      <vt:lpstr>Ark2</vt:lpstr>
    </vt:vector>
  </TitlesOfParts>
  <Company>Lauridsen Handel &amp; Import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Claus Aalund Olsen</dc:creator>
  <cp:lastModifiedBy>Thomas Khanna Klelund Josephsen</cp:lastModifiedBy>
  <dcterms:created xsi:type="dcterms:W3CDTF">2017-06-14T07:08:45Z</dcterms:created>
  <dcterms:modified xsi:type="dcterms:W3CDTF">2026-01-20T13:44:33Z</dcterms:modified>
</cp:coreProperties>
</file>